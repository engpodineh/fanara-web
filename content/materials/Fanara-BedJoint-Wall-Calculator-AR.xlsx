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حاسبة" sheetId="1" state="visible" r:id="rId3"/>
    <sheet name="المراج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<sst xmlns="http://schemas.openxmlformats.org/spreadsheetml/2006/main" count="107" uniqueCount="80">
  <si>
    <t xml:space="preserve">حاسبة جدار طابوقي مسلح بتسليح العرقات (Bed-joint reinforcement) — تحميل جانبي</t>
  </si>
  <si>
    <t xml:space="preserve">إعداد: م. أميد پودينه — مكتب فن آرا الهندسي · engfanara.com · @pudineh.eng</t>
  </si>
  <si>
    <t xml:space="preserve">أدخل القيم في الخلايا الصفراء فقط؛ باقي الخلايا مقفلة وتحسب تلقائيًا. الوحدات: mm, m, kPa, MPa, kN·m لكل متر.</t>
  </si>
  <si>
    <t xml:space="preserve">١) أبعاد الجدار والحمل</t>
  </si>
  <si>
    <t xml:space="preserve">سمك الجدار t</t>
  </si>
  <si>
    <t xml:space="preserve">mm</t>
  </si>
  <si>
    <t xml:space="preserve">طابوق مصمت: 115 (نصف طابوقة) أو 240 (طابوقة)</t>
  </si>
  <si>
    <t xml:space="preserve">الارتفاع بين الإسنادين الأعلى والأسفل H</t>
  </si>
  <si>
    <t xml:space="preserve">m</t>
  </si>
  <si>
    <t xml:space="preserve">الطول بين الأعمدة / الإسنادات الجانبية L</t>
  </si>
  <si>
    <t xml:space="preserve">الضغط الجانبي التصميمي w (مستوى المقاومة)</t>
  </si>
  <si>
    <t xml:space="preserve">kPa</t>
  </si>
  <si>
    <t xml:space="preserve">رياح أو زلزال لعنصر غير إنشائي — من الكود المعتمد للمشروع</t>
  </si>
  <si>
    <t xml:space="preserve">مقام معامل العزم الرأسي (M = wH²/k)</t>
  </si>
  <si>
    <t xml:space="preserve">—</t>
  </si>
  <si>
    <t xml:space="preserve">8 = بسيط الإسناد؛ 10 أو 12 = استمرارية/تثبيت جزئي</t>
  </si>
  <si>
    <t xml:space="preserve">مقام معامل العزم الأفقي (M = wL²/k)</t>
  </si>
  <si>
    <t xml:space="preserve">8 = بسيط؛ 10 أو 12 = جدار مستمر على عدة أعمدة</t>
  </si>
  <si>
    <t xml:space="preserve">٢) المواد</t>
  </si>
  <si>
    <t xml:space="preserve">نوع المونة (M/S أو N)</t>
  </si>
  <si>
    <t xml:space="preserve">S</t>
  </si>
  <si>
    <t xml:space="preserve">سمنت بورتلاندي/نورة حسب ASTM C270</t>
  </si>
  <si>
    <t xml:space="preserve">مقاومة انضغاط البناء f'm</t>
  </si>
  <si>
    <t xml:space="preserve">MPa</t>
  </si>
  <si>
    <t xml:space="preserve">من الفحص أو المواصفة (قيمة افتراضية تعليمية)</t>
  </si>
  <si>
    <t xml:space="preserve">معامل الكسر عمودي على العرقات الأفقية</t>
  </si>
  <si>
    <t xml:space="preserve">TMS 402 جدول 9.1.9.2 — وحدات مصمتة</t>
  </si>
  <si>
    <t xml:space="preserve">معامل الكسر موازٍ للعرقات الأفقية</t>
  </si>
  <si>
    <t xml:space="preserve">TMS 402 جدول 9.1.9.2 — رباط متعاقب</t>
  </si>
  <si>
    <t xml:space="preserve">φ للانحناء — طابوق غير مسلح</t>
  </si>
  <si>
    <t xml:space="preserve">TMS 402</t>
  </si>
  <si>
    <t xml:space="preserve">φ للانحناء — طابوق مسلح</t>
  </si>
  <si>
    <t xml:space="preserve">٣) تسليح العرقات (في الاتجاه الأفقي)</t>
  </si>
  <si>
    <t xml:space="preserve">قطر سلك التسليح</t>
  </si>
  <si>
    <t xml:space="preserve">الشائع 3.7–5 mm</t>
  </si>
  <si>
    <t xml:space="preserve">عدد الأسلاك في جهة الشد لكل طبقة</t>
  </si>
  <si>
    <t xml:space="preserve">التسليح السلّمي: سلك قرب كل وجه ⇒ 1 في جهة الشد</t>
  </si>
  <si>
    <t xml:space="preserve">التباعد الرأسي بين الطبقات s</t>
  </si>
  <si>
    <t xml:space="preserve">كل 2–3 صفوف عادةً (≈ 200–600)</t>
  </si>
  <si>
    <t xml:space="preserve">إجهاد خضوع السلك fy</t>
  </si>
  <si>
    <t xml:space="preserve">الحد الأدنى لتسليح العرقات حسب ASTM A951</t>
  </si>
  <si>
    <t xml:space="preserve">المسافة من وجه الجدار إلى مركز السلك</t>
  </si>
  <si>
    <t xml:space="preserve">تشمل غطاء المونة ≥ 15 mm تقريبًا</t>
  </si>
  <si>
    <t xml:space="preserve">٤) النتائج — الاتجاه الرأسي (جدار غير مسلح يمتد رأسيًا)</t>
  </si>
  <si>
    <t xml:space="preserve">معامل المقطع لكل متر Z = t²/6</t>
  </si>
  <si>
    <t xml:space="preserve">m³/m</t>
  </si>
  <si>
    <t xml:space="preserve">العزم التصميمي الرأسي Mu</t>
  </si>
  <si>
    <t xml:space="preserve">kN·m/m</t>
  </si>
  <si>
    <t xml:space="preserve">المقاومة التصميمية φMn (غير مسلح)</t>
  </si>
  <si>
    <t xml:space="preserve">نسبة الإجهاد Mu/φMn</t>
  </si>
  <si>
    <t xml:space="preserve">٥) النتائج — الاتجاه الأفقي (يمتد بين الأعمدة)</t>
  </si>
  <si>
    <t xml:space="preserve">العزم التصميمي الأفقي Mu</t>
  </si>
  <si>
    <t xml:space="preserve">φMn بدون تسليح</t>
  </si>
  <si>
    <t xml:space="preserve">مساحة التسليح لكل متر ارتفاع As</t>
  </si>
  <si>
    <t xml:space="preserve">mm²/m</t>
  </si>
  <si>
    <t xml:space="preserve">العمق الفعال d</t>
  </si>
  <si>
    <t xml:space="preserve">عمق كتلة الضغط a = As·fy/(0.80·f'm·b)</t>
  </si>
  <si>
    <t xml:space="preserve">b = 1000 mm</t>
  </si>
  <si>
    <t xml:space="preserve">φMn مع تسليح العرقات</t>
  </si>
  <si>
    <t xml:space="preserve">المقاومة المعتمدة أفقيًا (الأكبر)</t>
  </si>
  <si>
    <t xml:space="preserve">٦) الخلاصة</t>
  </si>
  <si>
    <t xml:space="preserve">الاتجاه الرأسي</t>
  </si>
  <si>
    <t xml:space="preserve">الاتجاه الأفقي</t>
  </si>
  <si>
    <t xml:space="preserve">النتيجة (تحليل باتجاه واحد — محافظ)</t>
  </si>
  <si>
    <t xml:space="preserve">أكبر تباعد لتسليح العرقات يحقق الاتجاه الأفقي (تقريبي)</t>
  </si>
  <si>
    <t xml:space="preserve">بفرض ذراع عزم ≈ 0.95d</t>
  </si>
  <si>
    <t xml:space="preserve">حدود الاستخدام: هذه حاسبة تعليمية لتحليل الجدار باتجاه واحد في كل اتجاه على حدة (محافظ؛ لا تأخذ مشاركة الاتجاهين في الألواح المسنودة على 3 أو 4 أطراف). لا تشمل القص، الانبعاج، الأحمال المحورية، ولا تصميم الروابط مع الهيكل. القيم المرجعية من TMS 402/602 و ASTM C270/A951. التصميم الفعلي يُدقق من مهندس مختص وفق الكود المعتمد للمشروع.</t>
  </si>
  <si>
    <t xml:space="preserve">جداول مرجعية</t>
  </si>
  <si>
    <t xml:space="preserve">معامل الكسر — TMS 402 جدول 9.1.9.2 (وحدات مصمتة، مونة سمنت بورتلاندي/نورة)</t>
  </si>
  <si>
    <t xml:space="preserve">M أو S</t>
  </si>
  <si>
    <t xml:space="preserve">N</t>
  </si>
  <si>
    <t xml:space="preserve">عمودي على العرقات الأفقية (MPa)</t>
  </si>
  <si>
    <t xml:space="preserve">موازٍ للعرقات الأفقية — رباط متعاقب (MPa)</t>
  </si>
  <si>
    <t xml:space="preserve">المونة — ASTM C270: المقاومة الدنيا بعمر 28 يومًا (MPa)</t>
  </si>
  <si>
    <t xml:space="preserve">النوع</t>
  </si>
  <si>
    <t xml:space="preserve">M</t>
  </si>
  <si>
    <t xml:space="preserve">O</t>
  </si>
  <si>
    <t xml:space="preserve">φ للانحناء: غير مسلح 0.60 — مسلح 0.90 (TMS 402)</t>
  </si>
  <si>
    <t xml:space="preserve">تسليح العرقات: الحد الأدنى لإجهاد الخضوع 485 MPa (ASTM A951)</t>
  </si>
  <si>
    <t xml:space="preserve">© م. أميد پودينه — مكتب فن آرا الهندسي · engfanara.com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</si>
</sst>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@"/>
    <numFmt numFmtId="168" formatCode="0.0"/>
    <numFmt numFmtId="169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5E666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285A35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5E666C"/>
      <name val="Arial"/>
      <family val="0"/>
      <charset val="1"/>
    </font>
    <font>
      <sz val="9"/>
      <color rgb="FFA23A2E"/>
      <name val="Arial"/>
      <family val="0"/>
      <charset val="1"/>
    </font>
    <font>
      <b val="true"/>
      <sz val="14"/>
      <color rgb="FF285A3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85A35"/>
        <bgColor rgb="FF333300"/>
      </patternFill>
    </fill>
    <fill>
      <patternFill patternType="solid">
        <fgColor rgb="FFE6EFE8"/>
        <bgColor rgb="FFF2F3EF"/>
      </patternFill>
    </fill>
    <fill>
      <patternFill patternType="solid">
        <fgColor rgb="FFFFF2CC"/>
        <bgColor rgb="FFF2F3EF"/>
      </patternFill>
    </fill>
    <fill>
      <patternFill patternType="solid">
        <fgColor rgb="FFF2F3EF"/>
        <bgColor rgb="FFE6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C4"/>
      </left>
      <right style="thin">
        <color rgb="FFC9CCC4"/>
      </right>
      <top style="thin">
        <color rgb="FFC9CCC4"/>
      </top>
      <bottom style="thin">
        <color rgb="FFC9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9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9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8" fillId="5" borderId="1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CC4"/>
      <rgbColor rgb="FF808080"/>
      <rgbColor rgb="FF9999FF"/>
      <rgbColor rgb="FF993366"/>
      <rgbColor rgb="FFFFF2CC"/>
      <rgbColor rgb="FFE6EF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66C"/>
      <rgbColor rgb="FF969696"/>
      <rgbColor rgb="FF003366"/>
      <rgbColor rgb="FF339966"/>
      <rgbColor rgb="FF003300"/>
      <rgbColor rgb="FF333300"/>
      <rgbColor rgb="FFA23A2E"/>
      <rgbColor rgb="FF993366"/>
      <rgbColor rgb="FF333399"/>
      <rgbColor rgb="FF285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6" min="5" style="0" width="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12.6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5" customFormat="false" ht="14.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6" t="n">
        <v>115</v>
      </c>
      <c r="C6" s="7" t="s">
        <v>5</v>
      </c>
      <c r="D6" s="8" t="s">
        <v>6</v>
      </c>
    </row>
    <row r="7" customFormat="false" ht="15" hidden="false" customHeight="false" outlineLevel="0" collapsed="false">
      <c r="A7" s="5" t="s">
        <v>7</v>
      </c>
      <c r="B7" s="9" t="n">
        <v>3.5</v>
      </c>
      <c r="C7" s="7" t="s">
        <v>8</v>
      </c>
      <c r="D7" s="8"/>
    </row>
    <row r="8" customFormat="false" ht="15" hidden="false" customHeight="false" outlineLevel="0" collapsed="false">
      <c r="A8" s="5" t="s">
        <v>9</v>
      </c>
      <c r="B8" s="9" t="n">
        <v>4.5</v>
      </c>
      <c r="C8" s="7" t="s">
        <v>8</v>
      </c>
      <c r="D8" s="8"/>
    </row>
    <row r="9" customFormat="false" ht="15" hidden="false" customHeight="false" outlineLevel="0" collapsed="false">
      <c r="A9" s="5" t="s">
        <v>10</v>
      </c>
      <c r="B9" s="9" t="n">
        <v>0.8</v>
      </c>
      <c r="C9" s="7" t="s">
        <v>11</v>
      </c>
      <c r="D9" s="8" t="s">
        <v>12</v>
      </c>
    </row>
    <row r="10" customFormat="false" ht="15" hidden="false" customHeight="false" outlineLevel="0" collapsed="false">
      <c r="A10" s="5" t="s">
        <v>13</v>
      </c>
      <c r="B10" s="6" t="n">
        <v>8</v>
      </c>
      <c r="C10" s="7" t="s">
        <v>14</v>
      </c>
      <c r="D10" s="8" t="s">
        <v>15</v>
      </c>
    </row>
    <row r="11" customFormat="false" ht="15" hidden="false" customHeight="false" outlineLevel="0" collapsed="false">
      <c r="A11" s="5" t="s">
        <v>16</v>
      </c>
      <c r="B11" s="6" t="n">
        <v>8</v>
      </c>
      <c r="C11" s="7" t="s">
        <v>14</v>
      </c>
      <c r="D11" s="8" t="s">
        <v>17</v>
      </c>
    </row>
    <row r="12" customFormat="false" ht="14.15" hidden="false" customHeight="false" outlineLevel="0" collapsed="false">
      <c r="A12" s="4" t="s">
        <v>18</v>
      </c>
      <c r="B12" s="4"/>
      <c r="C12" s="4"/>
      <c r="D12" s="4"/>
    </row>
    <row r="13" customFormat="false" ht="15" hidden="false" customHeight="false" outlineLevel="0" collapsed="false">
      <c r="A13" s="5" t="s">
        <v>19</v>
      </c>
      <c r="B13" s="10" t="s">
        <v>20</v>
      </c>
      <c r="C13" s="7" t="s">
        <v>14</v>
      </c>
      <c r="D13" s="8" t="s">
        <v>21</v>
      </c>
    </row>
    <row r="14" customFormat="false" ht="15" hidden="false" customHeight="false" outlineLevel="0" collapsed="false">
      <c r="A14" s="5" t="s">
        <v>22</v>
      </c>
      <c r="B14" s="9" t="n">
        <v>10</v>
      </c>
      <c r="C14" s="7" t="s">
        <v>23</v>
      </c>
      <c r="D14" s="8" t="s">
        <v>24</v>
      </c>
    </row>
    <row r="15" customFormat="false" ht="15" hidden="false" customHeight="false" outlineLevel="0" collapsed="false">
      <c r="A15" s="5" t="s">
        <v>25</v>
      </c>
      <c r="B15" s="11" t="n">
        <f aca="false">IF($B$13="N",0.52,0.69)</f>
        <v>0.69</v>
      </c>
      <c r="C15" s="7" t="s">
        <v>23</v>
      </c>
      <c r="D15" s="8" t="s">
        <v>26</v>
      </c>
    </row>
    <row r="16" customFormat="false" ht="15" hidden="false" customHeight="false" outlineLevel="0" collapsed="false">
      <c r="A16" s="5" t="s">
        <v>27</v>
      </c>
      <c r="B16" s="11" t="n">
        <f aca="false">IF($B$13="N",1.03,1.38)</f>
        <v>1.38</v>
      </c>
      <c r="C16" s="7" t="s">
        <v>23</v>
      </c>
      <c r="D16" s="8" t="s">
        <v>28</v>
      </c>
    </row>
    <row r="17" customFormat="false" ht="15" hidden="false" customHeight="false" outlineLevel="0" collapsed="false">
      <c r="A17" s="5" t="s">
        <v>29</v>
      </c>
      <c r="B17" s="11" t="n">
        <v>0.6</v>
      </c>
      <c r="C17" s="7" t="s">
        <v>14</v>
      </c>
      <c r="D17" s="8" t="s">
        <v>30</v>
      </c>
    </row>
    <row r="18" customFormat="false" ht="15" hidden="false" customHeight="false" outlineLevel="0" collapsed="false">
      <c r="A18" s="5" t="s">
        <v>31</v>
      </c>
      <c r="B18" s="11" t="n">
        <v>0.9</v>
      </c>
      <c r="C18" s="7" t="s">
        <v>14</v>
      </c>
      <c r="D18" s="8" t="s">
        <v>30</v>
      </c>
    </row>
    <row r="19" customFormat="false" ht="14.15" hidden="false" customHeight="false" outlineLevel="0" collapsed="false">
      <c r="A19" s="4" t="s">
        <v>32</v>
      </c>
      <c r="B19" s="4"/>
      <c r="C19" s="4"/>
      <c r="D19" s="4"/>
    </row>
    <row r="20" customFormat="false" ht="15" hidden="false" customHeight="false" outlineLevel="0" collapsed="false">
      <c r="A20" s="5" t="s">
        <v>33</v>
      </c>
      <c r="B20" s="12" t="n">
        <v>4</v>
      </c>
      <c r="C20" s="7" t="s">
        <v>5</v>
      </c>
      <c r="D20" s="8" t="s">
        <v>34</v>
      </c>
    </row>
    <row r="21" customFormat="false" ht="15" hidden="false" customHeight="false" outlineLevel="0" collapsed="false">
      <c r="A21" s="5" t="s">
        <v>35</v>
      </c>
      <c r="B21" s="6" t="n">
        <v>1</v>
      </c>
      <c r="C21" s="7" t="s">
        <v>14</v>
      </c>
      <c r="D21" s="8" t="s">
        <v>36</v>
      </c>
    </row>
    <row r="22" customFormat="false" ht="15" hidden="false" customHeight="false" outlineLevel="0" collapsed="false">
      <c r="A22" s="5" t="s">
        <v>37</v>
      </c>
      <c r="B22" s="6" t="n">
        <v>400</v>
      </c>
      <c r="C22" s="7" t="s">
        <v>5</v>
      </c>
      <c r="D22" s="8" t="s">
        <v>38</v>
      </c>
    </row>
    <row r="23" customFormat="false" ht="15" hidden="false" customHeight="false" outlineLevel="0" collapsed="false">
      <c r="A23" s="5" t="s">
        <v>39</v>
      </c>
      <c r="B23" s="6" t="n">
        <v>485</v>
      </c>
      <c r="C23" s="7" t="s">
        <v>23</v>
      </c>
      <c r="D23" s="8" t="s">
        <v>40</v>
      </c>
    </row>
    <row r="24" customFormat="false" ht="15" hidden="false" customHeight="false" outlineLevel="0" collapsed="false">
      <c r="A24" s="5" t="s">
        <v>41</v>
      </c>
      <c r="B24" s="6" t="n">
        <v>20</v>
      </c>
      <c r="C24" s="7" t="s">
        <v>5</v>
      </c>
      <c r="D24" s="8" t="s">
        <v>42</v>
      </c>
    </row>
    <row r="25" customFormat="false" ht="14.15" hidden="false" customHeight="false" outlineLevel="0" collapsed="false">
      <c r="A25" s="4" t="s">
        <v>43</v>
      </c>
      <c r="B25" s="4"/>
      <c r="C25" s="4"/>
      <c r="D25" s="4"/>
    </row>
    <row r="26" customFormat="false" ht="15" hidden="false" customHeight="false" outlineLevel="0" collapsed="false">
      <c r="A26" s="5" t="s">
        <v>44</v>
      </c>
      <c r="B26" s="13" t="n">
        <f aca="false">($B$6/1000)^2/6</f>
        <v>0.00220416666666667</v>
      </c>
      <c r="C26" s="7" t="s">
        <v>45</v>
      </c>
      <c r="D26" s="8"/>
    </row>
    <row r="27" customFormat="false" ht="15" hidden="false" customHeight="false" outlineLevel="0" collapsed="false">
      <c r="A27" s="5" t="s">
        <v>46</v>
      </c>
      <c r="B27" s="11" t="n">
        <f aca="false">$B$9*$B$7^2/$B$10</f>
        <v>1.225</v>
      </c>
      <c r="C27" s="7" t="s">
        <v>47</v>
      </c>
      <c r="D27" s="8"/>
    </row>
    <row r="28" customFormat="false" ht="15" hidden="false" customHeight="false" outlineLevel="0" collapsed="false">
      <c r="A28" s="5" t="s">
        <v>48</v>
      </c>
      <c r="B28" s="11" t="n">
        <f aca="false">$B$17*$B$15*1000*$B$26</f>
        <v>0.912525</v>
      </c>
      <c r="C28" s="7" t="s">
        <v>47</v>
      </c>
      <c r="D28" s="8"/>
    </row>
    <row r="29" customFormat="false" ht="15" hidden="false" customHeight="false" outlineLevel="0" collapsed="false">
      <c r="A29" s="5" t="s">
        <v>49</v>
      </c>
      <c r="B29" s="11" t="n">
        <f aca="false">$B$27/$B$28</f>
        <v>1.34242897454864</v>
      </c>
      <c r="C29" s="7" t="s">
        <v>14</v>
      </c>
      <c r="D29" s="8"/>
    </row>
    <row r="30" customFormat="false" ht="14.15" hidden="false" customHeight="false" outlineLevel="0" collapsed="false">
      <c r="A30" s="4" t="s">
        <v>50</v>
      </c>
      <c r="B30" s="4"/>
      <c r="C30" s="4"/>
      <c r="D30" s="4"/>
    </row>
    <row r="31" customFormat="false" ht="15" hidden="false" customHeight="false" outlineLevel="0" collapsed="false">
      <c r="A31" s="5" t="s">
        <v>51</v>
      </c>
      <c r="B31" s="11" t="n">
        <f aca="false">$B$9*$B$8^2/$B$11</f>
        <v>2.025</v>
      </c>
      <c r="C31" s="7" t="s">
        <v>47</v>
      </c>
      <c r="D31" s="8"/>
    </row>
    <row r="32" customFormat="false" ht="15" hidden="false" customHeight="false" outlineLevel="0" collapsed="false">
      <c r="A32" s="5" t="s">
        <v>52</v>
      </c>
      <c r="B32" s="11" t="n">
        <f aca="false">$B$17*$B$16*1000*$B$26</f>
        <v>1.82505</v>
      </c>
      <c r="C32" s="7" t="s">
        <v>47</v>
      </c>
      <c r="D32" s="8"/>
    </row>
    <row r="33" customFormat="false" ht="15" hidden="false" customHeight="false" outlineLevel="0" collapsed="false">
      <c r="A33" s="5" t="s">
        <v>53</v>
      </c>
      <c r="B33" s="14" t="n">
        <f aca="false">$B$21*PI()*$B$20^2/4*1000/$B$22</f>
        <v>31.4159265358979</v>
      </c>
      <c r="C33" s="7" t="s">
        <v>54</v>
      </c>
      <c r="D33" s="8"/>
    </row>
    <row r="34" customFormat="false" ht="15" hidden="false" customHeight="false" outlineLevel="0" collapsed="false">
      <c r="A34" s="5" t="s">
        <v>55</v>
      </c>
      <c r="B34" s="15" t="n">
        <f aca="false">$B$6-$B$24</f>
        <v>95</v>
      </c>
      <c r="C34" s="7" t="s">
        <v>5</v>
      </c>
      <c r="D34" s="8"/>
    </row>
    <row r="35" customFormat="false" ht="15" hidden="false" customHeight="false" outlineLevel="0" collapsed="false">
      <c r="A35" s="5" t="s">
        <v>56</v>
      </c>
      <c r="B35" s="14" t="n">
        <f aca="false">$B$33*$B$23/(0.8*$B$14*1000)</f>
        <v>1.90459054623881</v>
      </c>
      <c r="C35" s="7" t="s">
        <v>5</v>
      </c>
      <c r="D35" s="8" t="s">
        <v>57</v>
      </c>
    </row>
    <row r="36" customFormat="false" ht="15" hidden="false" customHeight="false" outlineLevel="0" collapsed="false">
      <c r="A36" s="5" t="s">
        <v>58</v>
      </c>
      <c r="B36" s="11" t="n">
        <f aca="false">$B$18*$B$33*$B$23*($B$34-$B$35/2)/1000000</f>
        <v>1.28968105909159</v>
      </c>
      <c r="C36" s="7" t="s">
        <v>47</v>
      </c>
      <c r="D36" s="8"/>
    </row>
    <row r="37" customFormat="false" ht="15" hidden="false" customHeight="false" outlineLevel="0" collapsed="false">
      <c r="A37" s="5" t="s">
        <v>59</v>
      </c>
      <c r="B37" s="11" t="n">
        <f aca="false">MAX($B$32,$B$36)</f>
        <v>1.82505</v>
      </c>
      <c r="C37" s="7" t="s">
        <v>47</v>
      </c>
      <c r="D37" s="8"/>
    </row>
    <row r="38" customFormat="false" ht="15" hidden="false" customHeight="false" outlineLevel="0" collapsed="false">
      <c r="A38" s="5" t="s">
        <v>49</v>
      </c>
      <c r="B38" s="11" t="n">
        <f aca="false">$B$31/$B$37</f>
        <v>1.10955864222898</v>
      </c>
      <c r="C38" s="7" t="s">
        <v>14</v>
      </c>
      <c r="D38" s="8"/>
    </row>
    <row r="39" customFormat="false" ht="14.15" hidden="false" customHeight="false" outlineLevel="0" collapsed="false">
      <c r="A39" s="4" t="s">
        <v>60</v>
      </c>
      <c r="B39" s="4"/>
      <c r="C39" s="4"/>
      <c r="D39" s="4"/>
    </row>
    <row r="40" customFormat="false" ht="15" hidden="false" customHeight="false" outlineLevel="0" collapsed="false">
      <c r="A40" s="5" t="s">
        <v>61</v>
      </c>
      <c r="B40" s="16" t="str">
        <f aca="false">IF($B$29&lt;=1,"مقبول ✓","غير مقبول ✗")</f>
        <v>غير مقبول ✗</v>
      </c>
      <c r="C40" s="7"/>
      <c r="D40" s="8"/>
    </row>
    <row r="41" customFormat="false" ht="15" hidden="false" customHeight="false" outlineLevel="0" collapsed="false">
      <c r="A41" s="5" t="s">
        <v>62</v>
      </c>
      <c r="B41" s="16" t="str">
        <f aca="false">IF($B$38&lt;=1,"مقبول ✓","غير مقبول ✗")</f>
        <v>غير مقبول ✗</v>
      </c>
      <c r="C41" s="7"/>
      <c r="D41" s="8"/>
    </row>
    <row r="42" customFormat="false" ht="36" hidden="false" customHeight="true" outlineLevel="0" collapsed="false">
      <c r="A42" s="5" t="s">
        <v>63</v>
      </c>
      <c r="B42" s="17" t="str">
        <f aca="false">IF(MIN($B$29,$B$38)&lt;=1,"الجدار كافٍ: يكفي أن يحمل أحد الاتجاهين الحمل كاملًا","الجدار غير كافٍ: قلّل s أو زد القطر/السمك أو أضف عمودًا رابطًا")</f>
        <v>الجدار غير كافٍ: قلّل s أو زد القطر/السمك أو أضف عمودًا رابطًا</v>
      </c>
      <c r="C42" s="7"/>
      <c r="D42" s="8"/>
    </row>
    <row r="43" customFormat="false" ht="15" hidden="false" customHeight="false" outlineLevel="0" collapsed="false">
      <c r="A43" s="5" t="s">
        <v>64</v>
      </c>
      <c r="B43" s="15" t="n">
        <f aca="false">IF($B$31&lt;=$B$32,"لا يلزم تسليح للمقاومة",ROUNDDOWN($B$21*PI()*$B$20^2/4*1000*$B$18*$B$23*0.95*$B$34/($B$31*1000000)/1000*1000,-1))</f>
        <v>240</v>
      </c>
      <c r="C43" s="7" t="s">
        <v>5</v>
      </c>
      <c r="D43" s="8" t="s">
        <v>65</v>
      </c>
    </row>
    <row r="45" customFormat="false" ht="15" hidden="false" customHeight="true" outlineLevel="0" collapsed="false">
      <c r="A45" s="18" t="s">
        <v>66</v>
      </c>
      <c r="B45" s="18"/>
      <c r="C45" s="18"/>
      <c r="D45" s="18"/>
    </row>
    <row r="46" customFormat="false" ht="15" hidden="false" customHeight="false" outlineLevel="0" collapsed="false">
      <c r="A46" s="18"/>
      <c r="B46" s="18"/>
      <c r="C46" s="18"/>
      <c r="D46" s="18"/>
    </row>
    <row r="47" customFormat="false" ht="15" hidden="false" customHeight="false" outlineLevel="0" collapsed="false">
      <c r="A47" s="18"/>
      <c r="B47" s="18"/>
      <c r="C47" s="18"/>
      <c r="D47" s="18"/>
    </row>
    <row r="48" customFormat="false" ht="15" hidden="false" customHeight="false" outlineLevel="0" collapsed="false">
      <c r="A48" s="18"/>
      <c r="B48" s="18"/>
      <c r="C48" s="18"/>
      <c r="D48" s="18"/>
    </row>
  </sheetData>
  <sheetProtection sheet="true" password="da94" formatCells="false"/>
  <mergeCells count="10">
    <mergeCell ref="A1:D1"/>
    <mergeCell ref="A2:D2"/>
    <mergeCell ref="A3:D3"/>
    <mergeCell ref="A5:D5"/>
    <mergeCell ref="A12:D12"/>
    <mergeCell ref="A19:D19"/>
    <mergeCell ref="A25:D25"/>
    <mergeCell ref="A30:D30"/>
    <mergeCell ref="A39:D39"/>
    <mergeCell ref="A45:D48"/>
  </mergeCells>
  <dataValidations count="1">
    <dataValidation allowBlank="false" errorStyle="stop" operator="between" showDropDown="false" showErrorMessage="false" showInputMessage="false" sqref="B13" type="list">
      <formula1>"M,S,N"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9" t="s">
        <v>67</v>
      </c>
    </row>
    <row r="3" customFormat="false" ht="15" hidden="false" customHeight="false" outlineLevel="0" collapsed="false">
      <c r="A3" s="20" t="s">
        <v>68</v>
      </c>
      <c r="B3" s="21" t="s">
        <v>69</v>
      </c>
      <c r="C3" s="21" t="s">
        <v>70</v>
      </c>
    </row>
    <row r="4" customFormat="false" ht="15" hidden="false" customHeight="false" outlineLevel="0" collapsed="false">
      <c r="A4" s="21" t="s">
        <v>71</v>
      </c>
      <c r="B4" s="21" t="n">
        <v>0.69</v>
      </c>
      <c r="C4" s="21" t="n">
        <v>0.52</v>
      </c>
    </row>
    <row r="5" customFormat="false" ht="15" hidden="false" customHeight="false" outlineLevel="0" collapsed="false">
      <c r="A5" s="21" t="s">
        <v>72</v>
      </c>
      <c r="B5" s="21" t="n">
        <v>1.38</v>
      </c>
      <c r="C5" s="21" t="n">
        <v>1.03</v>
      </c>
    </row>
    <row r="6" customFormat="false" ht="15" hidden="false" customHeight="false" outlineLevel="0" collapsed="false">
      <c r="A6" s="21"/>
      <c r="B6" s="21"/>
      <c r="C6" s="21"/>
    </row>
    <row r="7" customFormat="false" ht="15" hidden="false" customHeight="false" outlineLevel="0" collapsed="false">
      <c r="A7" s="20" t="s">
        <v>73</v>
      </c>
      <c r="B7" s="21" t="s">
        <v>74</v>
      </c>
      <c r="C7" s="21" t="s">
        <v>23</v>
      </c>
    </row>
    <row r="8" customFormat="false" ht="15" hidden="false" customHeight="false" outlineLevel="0" collapsed="false">
      <c r="A8" s="21"/>
      <c r="B8" s="21" t="s">
        <v>75</v>
      </c>
      <c r="C8" s="21" t="n">
        <v>17.2</v>
      </c>
    </row>
    <row r="9" customFormat="false" ht="15" hidden="false" customHeight="false" outlineLevel="0" collapsed="false">
      <c r="A9" s="21"/>
      <c r="B9" s="21" t="s">
        <v>20</v>
      </c>
      <c r="C9" s="21" t="n">
        <v>12.4</v>
      </c>
    </row>
    <row r="10" customFormat="false" ht="15" hidden="false" customHeight="false" outlineLevel="0" collapsed="false">
      <c r="A10" s="21"/>
      <c r="B10" s="21" t="s">
        <v>70</v>
      </c>
      <c r="C10" s="21" t="n">
        <v>5.2</v>
      </c>
    </row>
    <row r="11" customFormat="false" ht="15" hidden="false" customHeight="false" outlineLevel="0" collapsed="false">
      <c r="A11" s="21"/>
      <c r="B11" s="21" t="s">
        <v>76</v>
      </c>
      <c r="C11" s="21" t="n">
        <v>2.4</v>
      </c>
    </row>
    <row r="12" customFormat="false" ht="15" hidden="false" customHeight="false" outlineLevel="0" collapsed="false">
      <c r="A12" s="21"/>
      <c r="B12" s="21"/>
      <c r="C12" s="21"/>
    </row>
    <row r="13" customFormat="false" ht="15" hidden="false" customHeight="false" outlineLevel="0" collapsed="false">
      <c r="A13" s="21" t="s">
        <v>77</v>
      </c>
      <c r="B13" s="21"/>
      <c r="C13" s="21"/>
    </row>
    <row r="14" customFormat="false" ht="15" hidden="false" customHeight="false" outlineLevel="0" collapsed="false">
      <c r="A14" s="21" t="s">
        <v>78</v>
      </c>
      <c r="B14" s="21"/>
      <c r="C14" s="21"/>
    </row>
    <row r="17" customFormat="false" ht="15" hidden="false" customHeight="false" outlineLevel="0" collapsed="false">
      <c r="A17" s="22" t="s">
        <v>79</v>
      </c>
    </row>
  </sheetData>
  <sheetProtection sheet="true" password="da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2026-10-12T15:40:52Z</dcterms:created>
  <dc:creator>Omid Podineh — Fanara Engineering</dc:creator>
  <dc:description/>
  <dc:language>en-US</dc:language>
  <cp:lastModifiedBy/>
  <dcterms:modified xsi:type="dcterms:W3CDTF">2026-10-12T15:40:52Z</dcterms:modified>
  <cp:revision>0</cp:revision>
  <dc:subject/>
  <dc:title>حاسبة جدار طابوقي مسلح بتسليح العرقات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